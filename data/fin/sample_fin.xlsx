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  <sheet name="科目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2024-12-31</t>
        </is>
      </c>
      <c r="C1" s="1" t="inlineStr">
        <is>
          <t>2023-12-31</t>
        </is>
      </c>
    </row>
    <row r="2">
      <c r="A2" t="inlineStr">
        <is>
          <t>货币资金</t>
        </is>
      </c>
      <c r="B2" t="n">
        <v>5000</v>
      </c>
      <c r="C2" t="n">
        <v>4200</v>
      </c>
    </row>
    <row r="3">
      <c r="A3" t="inlineStr">
        <is>
          <t>应收账款</t>
        </is>
      </c>
      <c r="B3" t="n">
        <v>3200</v>
      </c>
      <c r="C3" t="n">
        <v>2800</v>
      </c>
    </row>
    <row r="4">
      <c r="A4" t="inlineStr">
        <is>
          <t>存货</t>
        </is>
      </c>
      <c r="B4" t="n">
        <v>2600</v>
      </c>
      <c r="C4" t="n">
        <v>2400</v>
      </c>
    </row>
    <row r="5">
      <c r="A5" t="inlineStr">
        <is>
          <t>流动资产合计</t>
        </is>
      </c>
      <c r="B5">
        <f>SUM(B2:B4)</f>
        <v/>
      </c>
      <c r="C5">
        <f>SUM(C2:C4)</f>
        <v/>
      </c>
    </row>
    <row r="6">
      <c r="A6" t="inlineStr">
        <is>
          <t>固定资产</t>
        </is>
      </c>
      <c r="B6" t="n">
        <v>9000</v>
      </c>
      <c r="C6" t="n">
        <v>8800</v>
      </c>
    </row>
    <row r="7">
      <c r="A7" t="inlineStr">
        <is>
          <t>资产总计</t>
        </is>
      </c>
      <c r="B7" s="2" t="n">
        <v>19700</v>
      </c>
      <c r="C7" t="n">
        <v>19600</v>
      </c>
    </row>
    <row r="8">
      <c r="A8" t="inlineStr">
        <is>
          <t>短期借款</t>
        </is>
      </c>
      <c r="B8" t="n">
        <v>3000</v>
      </c>
      <c r="C8" t="n">
        <v>3200</v>
      </c>
    </row>
    <row r="9">
      <c r="A9" t="inlineStr">
        <is>
          <t>应付账款</t>
        </is>
      </c>
      <c r="B9" t="n">
        <v>2400</v>
      </c>
      <c r="C9" t="n">
        <v>2100</v>
      </c>
    </row>
    <row r="10">
      <c r="A10" t="inlineStr">
        <is>
          <t>流动负债合计</t>
        </is>
      </c>
      <c r="B10">
        <f>SUM(B8:B9)</f>
        <v/>
      </c>
      <c r="C10">
        <f>SUM(C8:C9)</f>
        <v/>
      </c>
    </row>
    <row r="11">
      <c r="A11" t="inlineStr">
        <is>
          <t>长期借款</t>
        </is>
      </c>
      <c r="B11" t="n">
        <v>4000</v>
      </c>
      <c r="C11" t="n">
        <v>4200</v>
      </c>
    </row>
    <row r="12">
      <c r="A12" t="inlineStr">
        <is>
          <t>负债合计</t>
        </is>
      </c>
      <c r="B12">
        <f>B10+B11</f>
        <v/>
      </c>
      <c r="C12">
        <f>C10+C11</f>
        <v/>
      </c>
    </row>
    <row r="13">
      <c r="A13" t="inlineStr">
        <is>
          <t>实收资本</t>
        </is>
      </c>
      <c r="B13" t="n">
        <v>6000</v>
      </c>
      <c r="C13" t="n">
        <v>6000</v>
      </c>
    </row>
    <row r="14">
      <c r="A14" t="inlineStr">
        <is>
          <t>未分配利润</t>
        </is>
      </c>
      <c r="B14" t="n">
        <v>4250</v>
      </c>
      <c r="C14" t="n">
        <v>4000</v>
      </c>
    </row>
    <row r="15">
      <c r="A15" t="inlineStr">
        <is>
          <t>所有者权益合计</t>
        </is>
      </c>
      <c r="B15">
        <f>B13+B14</f>
        <v/>
      </c>
      <c r="C15">
        <f>C13+C14</f>
        <v/>
      </c>
    </row>
    <row r="16">
      <c r="A16" s="1" t="inlineStr">
        <is>
          <t>负债和所有者权益总计</t>
        </is>
      </c>
      <c r="B16">
        <f>B12+B15</f>
        <v/>
      </c>
      <c r="C16">
        <f>C12+C15</f>
        <v/>
      </c>
    </row>
    <row r="18">
      <c r="A18" s="1" t="inlineStr">
        <is>
          <t>附注</t>
        </is>
      </c>
    </row>
    <row r="19">
      <c r="A19" t="inlineStr">
        <is>
          <t>上期调整数（引用已删除的工作表）</t>
        </is>
      </c>
      <c r="B19">
        <f>已删除表!B5</f>
        <v/>
      </c>
    </row>
    <row r="20">
      <c r="A20" t="inlineStr">
        <is>
          <t>待确认项（引用了现金流量表的空白格）</t>
        </is>
      </c>
      <c r="B20">
        <f>现金流量表!B40</f>
        <v/>
      </c>
    </row>
    <row r="21">
      <c r="A21" t="inlineStr">
        <is>
          <t>其他应付款（单位：元）</t>
        </is>
      </c>
      <c r="B21" t="n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2024年度</t>
        </is>
      </c>
    </row>
    <row r="2">
      <c r="A2" t="inlineStr">
        <is>
          <t>营业收入</t>
        </is>
      </c>
      <c r="B2" t="n">
        <v>30000</v>
      </c>
    </row>
    <row r="3">
      <c r="A3" t="inlineStr">
        <is>
          <t>营业成本</t>
        </is>
      </c>
      <c r="B3" t="n">
        <v>18000</v>
      </c>
    </row>
    <row r="4">
      <c r="A4" t="inlineStr">
        <is>
          <t>毛利</t>
        </is>
      </c>
      <c r="B4">
        <f>B2-B3</f>
        <v/>
      </c>
    </row>
    <row r="5">
      <c r="A5" t="inlineStr">
        <is>
          <t>销售费用</t>
        </is>
      </c>
      <c r="B5" t="n">
        <v>3000</v>
      </c>
    </row>
    <row r="6">
      <c r="A6" t="inlineStr">
        <is>
          <t>管理费用</t>
        </is>
      </c>
      <c r="B6" t="n">
        <v>2000</v>
      </c>
    </row>
    <row r="7">
      <c r="A7" t="inlineStr">
        <is>
          <t>营业利润</t>
        </is>
      </c>
      <c r="B7" s="2" t="n">
        <v>7000</v>
      </c>
    </row>
    <row r="8">
      <c r="A8" t="inlineStr">
        <is>
          <t>所得税费用</t>
        </is>
      </c>
      <c r="B8" t="n">
        <v>1750</v>
      </c>
    </row>
    <row r="9">
      <c r="A9" s="1" t="inlineStr">
        <is>
          <t>净利润</t>
        </is>
      </c>
      <c r="B9">
        <f>B7-B8</f>
        <v/>
      </c>
    </row>
    <row r="11">
      <c r="A11" s="1" t="inlineStr">
        <is>
          <t>附注：本期留存收益变动</t>
        </is>
      </c>
    </row>
    <row r="12">
      <c r="A12" t="inlineStr">
        <is>
          <t>期初留存收益</t>
        </is>
      </c>
      <c r="B12" t="n">
        <v>4000</v>
      </c>
    </row>
    <row r="13">
      <c r="A13" t="inlineStr">
        <is>
          <t>加：本期留存收益（即净利润）</t>
        </is>
      </c>
      <c r="B13">
        <f>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2024年度</t>
        </is>
      </c>
    </row>
    <row r="2">
      <c r="A2" s="1" t="inlineStr">
        <is>
          <t>一、经营活动</t>
        </is>
      </c>
    </row>
    <row r="3">
      <c r="A3" t="inlineStr">
        <is>
          <t>销售商品、提供劳务收到的现金</t>
        </is>
      </c>
      <c r="B3" t="n">
        <v>31000</v>
      </c>
    </row>
    <row r="4">
      <c r="A4" t="inlineStr">
        <is>
          <t>购买商品、接受劳务支付的现金</t>
        </is>
      </c>
      <c r="B4" t="n">
        <v>-20000</v>
      </c>
    </row>
    <row r="5">
      <c r="A5" t="inlineStr">
        <is>
          <t>支付给职工以及为职工支付的现金</t>
        </is>
      </c>
      <c r="B5" t="n">
        <v>-5000</v>
      </c>
    </row>
    <row r="6">
      <c r="A6" t="inlineStr">
        <is>
          <t>经营活动产生的现金流量净额</t>
        </is>
      </c>
      <c r="B6">
        <f>SUM(B3:B5)</f>
        <v/>
      </c>
    </row>
    <row r="8">
      <c r="A8" s="1" t="inlineStr">
        <is>
          <t>二、投资活动</t>
        </is>
      </c>
    </row>
    <row r="9">
      <c r="A9" t="inlineStr">
        <is>
          <t>购建固定资产、无形资产支付的现金</t>
        </is>
      </c>
      <c r="B9" t="n">
        <v>-2000</v>
      </c>
    </row>
    <row r="10">
      <c r="A10" t="inlineStr">
        <is>
          <t>投资活动产生的现金流量净额</t>
        </is>
      </c>
      <c r="B10">
        <f>SUM(B9:B9)</f>
        <v/>
      </c>
    </row>
    <row r="12">
      <c r="A12" s="1" t="inlineStr">
        <is>
          <t>三、筹资活动</t>
        </is>
      </c>
    </row>
    <row r="13">
      <c r="A13" t="inlineStr">
        <is>
          <t>取得借款收到的现金</t>
        </is>
      </c>
      <c r="B13" t="n">
        <v>3000</v>
      </c>
    </row>
    <row r="14">
      <c r="A14" t="inlineStr">
        <is>
          <t>偿还债务支付的现金</t>
        </is>
      </c>
      <c r="B14" t="n">
        <v>-4000</v>
      </c>
    </row>
    <row r="15">
      <c r="A15" t="inlineStr">
        <is>
          <t>筹资活动产生的现金流量净额</t>
        </is>
      </c>
      <c r="B15">
        <f>SUM(B13:B14)</f>
        <v/>
      </c>
    </row>
    <row r="17">
      <c r="A17" t="inlineStr">
        <is>
          <t>四、汇率变动对现金的影响</t>
        </is>
      </c>
      <c r="B17" t="n">
        <v>0</v>
      </c>
    </row>
    <row r="18">
      <c r="A18" t="inlineStr">
        <is>
          <t>五、现金及现金等价物净增加额</t>
        </is>
      </c>
      <c r="B18">
        <f>B6+B10+B15+B17</f>
        <v/>
      </c>
    </row>
    <row r="19">
      <c r="A19" t="inlineStr">
        <is>
          <t>加：期初现金及现金等价物余额</t>
        </is>
      </c>
      <c r="B19" t="n">
        <v>3200</v>
      </c>
    </row>
    <row r="20">
      <c r="A20" t="inlineStr">
        <is>
          <t>期末现金及现金等价物余额</t>
        </is>
      </c>
      <c r="B20" s="2" t="n">
        <v>4600</v>
      </c>
    </row>
    <row r="22">
      <c r="A22" s="1" t="inlineStr">
        <is>
          <t>补充资料：间接法调节</t>
        </is>
      </c>
    </row>
    <row r="23">
      <c r="A23" t="inlineStr">
        <is>
          <t>净利润</t>
        </is>
      </c>
      <c r="B23">
        <f>利润表!B9</f>
        <v/>
      </c>
    </row>
    <row r="24">
      <c r="A24" t="inlineStr">
        <is>
          <t>加：固定资产折旧</t>
        </is>
      </c>
      <c r="B24" t="n">
        <v>800</v>
      </c>
    </row>
    <row r="25">
      <c r="A25" t="inlineStr">
        <is>
          <t>减：应收账款增加</t>
        </is>
      </c>
      <c r="B25" t="n">
        <v>-400</v>
      </c>
    </row>
    <row r="26">
      <c r="A26" t="inlineStr">
        <is>
          <t>减：存货增加</t>
        </is>
      </c>
      <c r="B26" t="n">
        <v>-200</v>
      </c>
    </row>
    <row r="27">
      <c r="A27" t="inlineStr">
        <is>
          <t>加：应付账款增加</t>
        </is>
      </c>
      <c r="B27" t="n">
        <v>300</v>
      </c>
    </row>
    <row r="28">
      <c r="A28" t="inlineStr">
        <is>
          <t>经营活动现金流量净额（间接法）</t>
        </is>
      </c>
      <c r="B28">
        <f>SUM(B23:B27)</f>
        <v/>
      </c>
    </row>
    <row r="29">
      <c r="A29" t="inlineStr">
        <is>
          <t>直接法下的经营活动现金流量净额</t>
        </is>
      </c>
      <c r="B29">
        <f>B6</f>
        <v/>
      </c>
    </row>
    <row r="31">
      <c r="A31" t="inlineStr">
        <is>
          <t>待核项 A</t>
        </is>
      </c>
      <c r="B31">
        <f>B32+100</f>
        <v/>
      </c>
    </row>
    <row r="32">
      <c r="A32" t="inlineStr">
        <is>
          <t>待核项 B</t>
        </is>
      </c>
      <c r="B32">
        <f>B31-100</f>
        <v/>
      </c>
    </row>
    <row r="34">
      <c r="A34" s="3" t="inlineStr">
        <is>
          <t>备注：其他支出 3,000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本表列示的口径差异</t>
        </is>
      </c>
    </row>
    <row r="2">
      <c r="A2" t="inlineStr">
        <is>
          <t>未分配利润（资产负债表口径）</t>
        </is>
      </c>
    </row>
    <row r="3">
      <c r="A3" t="inlineStr">
        <is>
          <t>留存收益（利润表附注口径）  ← 同一科目、两个名字</t>
        </is>
      </c>
    </row>
    <row r="4">
      <c r="A4" t="inlineStr">
        <is>
          <t>现金及现金等价物（现金流量表口径）  vs  货币资金（资产负债表口径）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2026-10-09T09:23:12Z</dcterms:created>
  <dcterms:modified xsi:type="dcterms:W3CDTF">2026-10-09T09:23:12Z</dcterms:modified>
</cp:coreProperties>
</file>