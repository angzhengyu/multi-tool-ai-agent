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-Career\05-projects\multi-tool-ai-agent\data\fin\"/>
    </mc:Choice>
  </mc:AlternateContent>
  <xr:revisionPtr revIDLastSave="0" documentId="8_{32ED2B9E-3112-4314-B0BD-D8AA4B0AF322}" xr6:coauthVersionLast="47" xr6:coauthVersionMax="47" xr10:uidLastSave="{00000000-0000-0000-0000-000000000000}"/>
  <bookViews>
    <workbookView xWindow="4188" yWindow="4188" windowWidth="23040" windowHeight="12120" xr2:uid="{00000000-000D-0000-FFFF-FFFF00000000}"/>
  </bookViews>
  <sheets>
    <sheet name="资产负债表" sheetId="1" r:id="rId1"/>
    <sheet name="利润表" sheetId="2" r:id="rId2"/>
    <sheet name="现金流量表" sheetId="3" r:id="rId3"/>
    <sheet name="科目对照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0" i="3"/>
  <c r="B6" i="3"/>
  <c r="B29" i="3" s="1"/>
  <c r="B9" i="2"/>
  <c r="B13" i="2" s="1"/>
  <c r="B4" i="2"/>
  <c r="B20" i="1"/>
  <c r="B19" i="1"/>
  <c r="C15" i="1"/>
  <c r="B15" i="1"/>
  <c r="C10" i="1"/>
  <c r="C12" i="1" s="1"/>
  <c r="C16" i="1" s="1"/>
  <c r="B10" i="1"/>
  <c r="B12" i="1" s="1"/>
  <c r="B16" i="1" s="1"/>
  <c r="C5" i="1"/>
  <c r="B5" i="1"/>
  <c r="B23" i="3" l="1"/>
  <c r="B28" i="3" s="1"/>
  <c r="B18" i="3"/>
  <c r="B31" i="3"/>
  <c r="B32" i="3"/>
</calcChain>
</file>

<file path=xl/sharedStrings.xml><?xml version="1.0" encoding="utf-8"?>
<sst xmlns="http://schemas.openxmlformats.org/spreadsheetml/2006/main" count="68" uniqueCount="64">
  <si>
    <t>项目</t>
  </si>
  <si>
    <t>2024-12-31</t>
  </si>
  <si>
    <t>2023-12-31</t>
  </si>
  <si>
    <t>货币资金</t>
  </si>
  <si>
    <t>应收账款</t>
  </si>
  <si>
    <t>存货</t>
  </si>
  <si>
    <t>流动资产合计</t>
  </si>
  <si>
    <t>固定资产</t>
  </si>
  <si>
    <t>资产总计</t>
  </si>
  <si>
    <t>短期借款</t>
  </si>
  <si>
    <t>应付账款</t>
  </si>
  <si>
    <t>流动负债合计</t>
  </si>
  <si>
    <t>长期借款</t>
  </si>
  <si>
    <t>负债合计</t>
  </si>
  <si>
    <t>实收资本</t>
  </si>
  <si>
    <t>未分配利润</t>
  </si>
  <si>
    <t>所有者权益合计</t>
  </si>
  <si>
    <t>负债和所有者权益总计</t>
  </si>
  <si>
    <t>附注</t>
  </si>
  <si>
    <t>上期调整数（引用已删除的工作表）</t>
  </si>
  <si>
    <t>待确认项（引用了现金流量表的空白格）</t>
  </si>
  <si>
    <t>其他应付款（单位：元）</t>
  </si>
  <si>
    <t>2024年度</t>
  </si>
  <si>
    <t>营业收入</t>
  </si>
  <si>
    <t>营业成本</t>
  </si>
  <si>
    <t>毛利</t>
  </si>
  <si>
    <t>销售费用</t>
  </si>
  <si>
    <t>管理费用</t>
  </si>
  <si>
    <t>营业利润</t>
  </si>
  <si>
    <t>所得税费用</t>
  </si>
  <si>
    <t>净利润</t>
  </si>
  <si>
    <t>附注：本期留存收益变动</t>
  </si>
  <si>
    <t>期初留存收益</t>
  </si>
  <si>
    <t>加：本期留存收益（即净利润）</t>
  </si>
  <si>
    <t>一、经营活动</t>
  </si>
  <si>
    <t>销售商品、提供劳务收到的现金</t>
  </si>
  <si>
    <t>购买商品、接受劳务支付的现金</t>
  </si>
  <si>
    <t>支付给职工以及为职工支付的现金</t>
  </si>
  <si>
    <t>经营活动产生的现金流量净额</t>
  </si>
  <si>
    <t>二、投资活动</t>
  </si>
  <si>
    <t>购建固定资产、无形资产支付的现金</t>
  </si>
  <si>
    <t>投资活动产生的现金流量净额</t>
  </si>
  <si>
    <t>三、筹资活动</t>
  </si>
  <si>
    <t>取得借款收到的现金</t>
  </si>
  <si>
    <t>偿还债务支付的现金</t>
  </si>
  <si>
    <t>筹资活动产生的现金流量净额</t>
  </si>
  <si>
    <t>四、汇率变动对现金的影响</t>
  </si>
  <si>
    <t>五、现金及现金等价物净增加额</t>
  </si>
  <si>
    <t>加：期初现金及现金等价物余额</t>
  </si>
  <si>
    <t>期末现金及现金等价物余额</t>
  </si>
  <si>
    <t>补充资料：间接法调节</t>
  </si>
  <si>
    <t>加：固定资产折旧</t>
  </si>
  <si>
    <t>减：应收账款增加</t>
  </si>
  <si>
    <t>减：存货增加</t>
  </si>
  <si>
    <t>加：应付账款增加</t>
  </si>
  <si>
    <t>经营活动现金流量净额（间接法）</t>
  </si>
  <si>
    <t>直接法下的经营活动现金流量净额</t>
  </si>
  <si>
    <t>待核项 A</t>
  </si>
  <si>
    <t>待核项 B</t>
  </si>
  <si>
    <t>备注：其他支出 3,000 元</t>
  </si>
  <si>
    <t>本表列示的口径差异</t>
  </si>
  <si>
    <t>未分配利润（资产负债表口径）</t>
  </si>
  <si>
    <t>留存收益（利润表附注口径）  ← 同一科目、两个名字</t>
  </si>
  <si>
    <t>现金及现金等价物（现金流量表口径）  vs  货币资金（资产负债表口径）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</si>
</sst>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i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1024;&#38500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已删除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5000</v>
      </c>
      <c r="C2">
        <v>4200</v>
      </c>
    </row>
    <row r="3" spans="1:3" x14ac:dyDescent="0.25">
      <c r="A3" t="s">
        <v>4</v>
      </c>
      <c r="B3">
        <v>3200</v>
      </c>
      <c r="C3">
        <v>2800</v>
      </c>
    </row>
    <row r="4" spans="1:3" x14ac:dyDescent="0.25">
      <c r="A4" t="s">
        <v>5</v>
      </c>
      <c r="B4">
        <v>2600</v>
      </c>
      <c r="C4">
        <v>2400</v>
      </c>
    </row>
    <row r="5" spans="1:3" x14ac:dyDescent="0.25">
      <c r="A5" t="s">
        <v>6</v>
      </c>
      <c r="B5">
        <f>SUM(B2:B4)</f>
        <v>10800</v>
      </c>
      <c r="C5">
        <f>SUM(C2:C4)</f>
        <v>9400</v>
      </c>
    </row>
    <row r="6" spans="1:3" x14ac:dyDescent="0.25">
      <c r="A6" t="s">
        <v>7</v>
      </c>
      <c r="B6">
        <v>9000</v>
      </c>
      <c r="C6">
        <v>8800</v>
      </c>
    </row>
    <row r="7" spans="1:3" x14ac:dyDescent="0.25">
      <c r="A7" t="s">
        <v>8</v>
      </c>
      <c r="B7" s="2">
        <v>19700</v>
      </c>
      <c r="C7">
        <v>19600</v>
      </c>
    </row>
    <row r="8" spans="1:3" x14ac:dyDescent="0.25">
      <c r="A8" t="s">
        <v>9</v>
      </c>
      <c r="B8">
        <v>3000</v>
      </c>
      <c r="C8">
        <v>3200</v>
      </c>
    </row>
    <row r="9" spans="1:3" x14ac:dyDescent="0.25">
      <c r="A9" t="s">
        <v>10</v>
      </c>
      <c r="B9">
        <v>2400</v>
      </c>
      <c r="C9">
        <v>2100</v>
      </c>
    </row>
    <row r="10" spans="1:3" x14ac:dyDescent="0.25">
      <c r="A10" t="s">
        <v>11</v>
      </c>
      <c r="B10">
        <f>SUM(B8:B9)</f>
        <v>5400</v>
      </c>
      <c r="C10">
        <f>SUM(C8:C9)</f>
        <v>5300</v>
      </c>
    </row>
    <row r="11" spans="1:3" x14ac:dyDescent="0.25">
      <c r="A11" t="s">
        <v>12</v>
      </c>
      <c r="B11">
        <v>4000</v>
      </c>
      <c r="C11">
        <v>4200</v>
      </c>
    </row>
    <row r="12" spans="1:3" x14ac:dyDescent="0.25">
      <c r="A12" t="s">
        <v>13</v>
      </c>
      <c r="B12">
        <f>B10+B11</f>
        <v>9400</v>
      </c>
      <c r="C12">
        <f>C10+C11</f>
        <v>9500</v>
      </c>
    </row>
    <row r="13" spans="1:3" x14ac:dyDescent="0.25">
      <c r="A13" t="s">
        <v>14</v>
      </c>
      <c r="B13">
        <v>6000</v>
      </c>
      <c r="C13">
        <v>6000</v>
      </c>
    </row>
    <row r="14" spans="1:3" x14ac:dyDescent="0.25">
      <c r="A14" t="s">
        <v>15</v>
      </c>
      <c r="B14">
        <v>4250</v>
      </c>
      <c r="C14">
        <v>4000</v>
      </c>
    </row>
    <row r="15" spans="1:3" x14ac:dyDescent="0.25">
      <c r="A15" t="s">
        <v>16</v>
      </c>
      <c r="B15">
        <f>B13+B14</f>
        <v>10250</v>
      </c>
      <c r="C15">
        <f>C13+C14</f>
        <v>10000</v>
      </c>
    </row>
    <row r="16" spans="1:3" x14ac:dyDescent="0.25">
      <c r="A16" s="1" t="s">
        <v>17</v>
      </c>
      <c r="B16">
        <f>B12+B15</f>
        <v>19650</v>
      </c>
      <c r="C16">
        <f>C12+C15</f>
        <v>19500</v>
      </c>
    </row>
    <row r="18" spans="1:2" x14ac:dyDescent="0.25">
      <c r="A18" s="1" t="s">
        <v>18</v>
      </c>
    </row>
    <row r="19" spans="1:2" x14ac:dyDescent="0.25">
      <c r="A19" t="s">
        <v>19</v>
      </c>
      <c r="B19" t="e">
        <f>[1]已删除表!B5</f>
        <v>#REF!</v>
      </c>
    </row>
    <row r="20" spans="1:2" x14ac:dyDescent="0.25">
      <c r="A20" t="s">
        <v>20</v>
      </c>
      <c r="B20">
        <f>现金流量表!B40</f>
        <v>0</v>
      </c>
    </row>
    <row r="21" spans="1:2" x14ac:dyDescent="0.25">
      <c r="A21" t="s">
        <v>21</v>
      </c>
      <c r="B21">
        <v>350000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22</v>
      </c>
    </row>
    <row r="2" spans="1:2" x14ac:dyDescent="0.25">
      <c r="A2" t="s">
        <v>23</v>
      </c>
      <c r="B2">
        <v>30000</v>
      </c>
    </row>
    <row r="3" spans="1:2" x14ac:dyDescent="0.25">
      <c r="A3" t="s">
        <v>24</v>
      </c>
      <c r="B3">
        <v>18000</v>
      </c>
    </row>
    <row r="4" spans="1:2" x14ac:dyDescent="0.25">
      <c r="A4" t="s">
        <v>25</v>
      </c>
      <c r="B4">
        <f>B2-B3</f>
        <v>12000</v>
      </c>
    </row>
    <row r="5" spans="1:2" x14ac:dyDescent="0.25">
      <c r="A5" t="s">
        <v>26</v>
      </c>
      <c r="B5">
        <v>3000</v>
      </c>
    </row>
    <row r="6" spans="1:2" x14ac:dyDescent="0.25">
      <c r="A6" t="s">
        <v>27</v>
      </c>
      <c r="B6">
        <v>2000</v>
      </c>
    </row>
    <row r="7" spans="1:2" x14ac:dyDescent="0.25">
      <c r="A7" t="s">
        <v>28</v>
      </c>
      <c r="B7" s="2">
        <v>7000</v>
      </c>
    </row>
    <row r="8" spans="1:2" x14ac:dyDescent="0.25">
      <c r="A8" t="s">
        <v>29</v>
      </c>
      <c r="B8">
        <v>1750</v>
      </c>
    </row>
    <row r="9" spans="1:2" x14ac:dyDescent="0.25">
      <c r="A9" s="1" t="s">
        <v>30</v>
      </c>
      <c r="B9">
        <f>B7-B8</f>
        <v>5250</v>
      </c>
    </row>
    <row r="11" spans="1:2" x14ac:dyDescent="0.25">
      <c r="A11" s="1" t="s">
        <v>31</v>
      </c>
    </row>
    <row r="12" spans="1:2" x14ac:dyDescent="0.25">
      <c r="A12" t="s">
        <v>32</v>
      </c>
      <c r="B12">
        <v>4000</v>
      </c>
    </row>
    <row r="13" spans="1:2" x14ac:dyDescent="0.25">
      <c r="A13" t="s">
        <v>33</v>
      </c>
      <c r="B13">
        <f>B9</f>
        <v>5250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22</v>
      </c>
    </row>
    <row r="2" spans="1:2" x14ac:dyDescent="0.25">
      <c r="A2" s="1" t="s">
        <v>34</v>
      </c>
    </row>
    <row r="3" spans="1:2" x14ac:dyDescent="0.25">
      <c r="A3" t="s">
        <v>35</v>
      </c>
      <c r="B3">
        <v>31000</v>
      </c>
    </row>
    <row r="4" spans="1:2" x14ac:dyDescent="0.25">
      <c r="A4" t="s">
        <v>36</v>
      </c>
      <c r="B4">
        <v>-20000</v>
      </c>
    </row>
    <row r="5" spans="1:2" x14ac:dyDescent="0.25">
      <c r="A5" t="s">
        <v>37</v>
      </c>
      <c r="B5">
        <v>-5000</v>
      </c>
    </row>
    <row r="6" spans="1:2" x14ac:dyDescent="0.25">
      <c r="A6" t="s">
        <v>38</v>
      </c>
      <c r="B6">
        <f>SUM(B3:B5)</f>
        <v>6000</v>
      </c>
    </row>
    <row r="8" spans="1:2" x14ac:dyDescent="0.25">
      <c r="A8" s="1" t="s">
        <v>39</v>
      </c>
    </row>
    <row r="9" spans="1:2" x14ac:dyDescent="0.25">
      <c r="A9" t="s">
        <v>40</v>
      </c>
      <c r="B9">
        <v>-2000</v>
      </c>
    </row>
    <row r="10" spans="1:2" x14ac:dyDescent="0.25">
      <c r="A10" t="s">
        <v>41</v>
      </c>
      <c r="B10">
        <f>SUM(B9:B9)</f>
        <v>-2000</v>
      </c>
    </row>
    <row r="12" spans="1:2" x14ac:dyDescent="0.25">
      <c r="A12" s="1" t="s">
        <v>42</v>
      </c>
    </row>
    <row r="13" spans="1:2" x14ac:dyDescent="0.25">
      <c r="A13" t="s">
        <v>43</v>
      </c>
      <c r="B13">
        <v>3000</v>
      </c>
    </row>
    <row r="14" spans="1:2" x14ac:dyDescent="0.25">
      <c r="A14" t="s">
        <v>44</v>
      </c>
      <c r="B14">
        <v>-4000</v>
      </c>
    </row>
    <row r="15" spans="1:2" x14ac:dyDescent="0.25">
      <c r="A15" t="s">
        <v>45</v>
      </c>
      <c r="B15">
        <f>SUM(B13:B14)</f>
        <v>-1000</v>
      </c>
    </row>
    <row r="17" spans="1:2" x14ac:dyDescent="0.25">
      <c r="A17" t="s">
        <v>46</v>
      </c>
      <c r="B17">
        <v>0</v>
      </c>
    </row>
    <row r="18" spans="1:2" x14ac:dyDescent="0.25">
      <c r="A18" t="s">
        <v>47</v>
      </c>
      <c r="B18">
        <f>B6+B10+B15+B17</f>
        <v>3000</v>
      </c>
    </row>
    <row r="19" spans="1:2" x14ac:dyDescent="0.25">
      <c r="A19" t="s">
        <v>48</v>
      </c>
      <c r="B19">
        <v>3200</v>
      </c>
    </row>
    <row r="20" spans="1:2" x14ac:dyDescent="0.25">
      <c r="A20" t="s">
        <v>49</v>
      </c>
      <c r="B20" s="2">
        <v>4600</v>
      </c>
    </row>
    <row r="22" spans="1:2" x14ac:dyDescent="0.25">
      <c r="A22" s="1" t="s">
        <v>50</v>
      </c>
    </row>
    <row r="23" spans="1:2" x14ac:dyDescent="0.25">
      <c r="A23" t="s">
        <v>30</v>
      </c>
      <c r="B23">
        <f>利润表!B9</f>
        <v>5250</v>
      </c>
    </row>
    <row r="24" spans="1:2" x14ac:dyDescent="0.25">
      <c r="A24" t="s">
        <v>51</v>
      </c>
      <c r="B24">
        <v>800</v>
      </c>
    </row>
    <row r="25" spans="1:2" x14ac:dyDescent="0.25">
      <c r="A25" t="s">
        <v>52</v>
      </c>
      <c r="B25">
        <v>-400</v>
      </c>
    </row>
    <row r="26" spans="1:2" x14ac:dyDescent="0.25">
      <c r="A26" t="s">
        <v>53</v>
      </c>
      <c r="B26">
        <v>-200</v>
      </c>
    </row>
    <row r="27" spans="1:2" x14ac:dyDescent="0.25">
      <c r="A27" t="s">
        <v>54</v>
      </c>
      <c r="B27">
        <v>300</v>
      </c>
    </row>
    <row r="28" spans="1:2" x14ac:dyDescent="0.25">
      <c r="A28" t="s">
        <v>55</v>
      </c>
      <c r="B28">
        <f>SUM(B23:B27)</f>
        <v>5750</v>
      </c>
    </row>
    <row r="29" spans="1:2" x14ac:dyDescent="0.25">
      <c r="A29" t="s">
        <v>56</v>
      </c>
      <c r="B29">
        <f>B6</f>
        <v>6000</v>
      </c>
    </row>
    <row r="31" spans="1:2" x14ac:dyDescent="0.25">
      <c r="A31" t="s">
        <v>57</v>
      </c>
      <c r="B31" t="str">
        <f ca="1">B32+100</f>
        <v/>
      </c>
    </row>
    <row r="32" spans="1:2" x14ac:dyDescent="0.25">
      <c r="A32" t="s">
        <v>58</v>
      </c>
      <c r="B32" t="str">
        <f ca="1">B31-100</f>
        <v/>
      </c>
    </row>
    <row r="34" spans="1:1" x14ac:dyDescent="0.25">
      <c r="A34" s="3" t="s">
        <v>59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4" x14ac:dyDescent="0.25"/>
  <sheetData>
    <row r="1" spans="1:1" x14ac:dyDescent="0.25">
      <c r="A1" s="1" t="s">
        <v>60</v>
      </c>
    </row>
    <row r="2" spans="1:1" x14ac:dyDescent="0.25">
      <c r="A2" t="s">
        <v>61</v>
      </c>
    </row>
    <row r="3" spans="1:1" x14ac:dyDescent="0.25">
      <c r="A3" t="s">
        <v>62</v>
      </c>
    </row>
    <row r="4" spans="1:1" x14ac:dyDescent="0.25">
      <c r="A4" t="s">
        <v>63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资产负债表</vt:lpstr>
      <vt:lpstr>利润表</vt:lpstr>
      <vt:lpstr>现金流量表</vt:lpstr>
      <vt:lpstr>科目对照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政宇 昂</cp:lastModifiedBy>
  <dcterms:created xsi:type="dcterms:W3CDTF">2026-10-09T09:23:12Z</dcterms:created>
  <dcterms:modified xsi:type="dcterms:W3CDTF">2026-10-09T09:24:32Z</dcterms:modified>
</cp:coreProperties>
</file>